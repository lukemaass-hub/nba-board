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month" sheetId="2" state="visible" r:id="rId2"/>
    <sheet xmlns:r="http://schemas.openxmlformats.org/officeDocument/2006/relationships" name="What matters" sheetId="3" state="visible" r:id="rId3"/>
    <sheet xmlns:r="http://schemas.openxmlformats.org/officeDocument/2006/relationships" name="Where it fails" sheetId="4" state="visible" r:id="rId4"/>
    <sheet xmlns:r="http://schemas.openxmlformats.org/officeDocument/2006/relationships" name="Examples" sheetId="5" state="visible" r:id="rId5"/>
    <sheet xmlns:r="http://schemas.openxmlformats.org/officeDocument/2006/relationships" name="Data 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+0.0%;-0.0%;&quot;-&quot;"/>
    <numFmt numFmtId="167" formatCode="+0.00;-0.00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6" fontId="4" fillId="0" borderId="0" applyAlignment="1" pivotButton="0" quotePrefix="0" xfId="0">
      <alignment vertical="center" wrapText="1"/>
    </xf>
    <xf numFmtId="164" fontId="4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7" fontId="4" fillId="0" borderId="0" pivotButton="0" quotePrefix="0" xfId="0"/>
    <xf numFmtId="166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Claude</author>
  </authors>
  <commentList>
    <comment ref="A5" authorId="0" shapeId="0">
      <text>
        <t>Source: backtest/backtest.py in github.com/lukemaass-hub/nba-board, on ESPN box scores (2024-25 and 2025-26 regular seasons, 2,460 games), run by Claude 2026-10-15.</t>
      </text>
    </comment>
    <comment ref="A15" authorId="0" shapeId="0">
      <text>
        <t>Source: backtest/backtest.py in github.com/lukemaass-hub/nba-board, on ESPN box scores (2024-25 and 2025-26 regular seasons, 2,460 games), run by Claude 2026-10-15.</t>
      </text>
    </comment>
    <comment ref="A25" authorId="0" shapeId="0">
      <text>
        <t>Source: backtest/backtest.py in github.com/lukemaass-hub/nba-board, on ESPN box scores (2024-25 and 2025-26 regular seasons, 2,460 games), run by Claude 2026-10-15.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3" authorId="0" shapeId="0">
      <text>
        <t>Source: backtest/backtest.py in github.com/lukemaass-hub/nba-board, on ESPN box scores (2024-25 and 2025-26 regular seasons, 2,460 games), run by Claude 2026-10-15.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A3" authorId="0" shapeId="0">
      <text>
        <t>Source: backtest/backtest.py in github.com/lukemaass-hub/nba-board, on ESPN box scores (2024-25 and 2025-26 regular seasons, 2,460 games), run by Claude 2026-10-15.</t>
      </text>
    </comment>
  </commentList>
</comments>
</file>

<file path=xl/comments/comment4.xml><?xml version="1.0" encoding="utf-8"?>
<comments xmlns="http://schemas.openxmlformats.org/spreadsheetml/2006/main">
  <authors>
    <author>Claude</author>
  </authors>
  <commentList>
    <comment ref="A4" authorId="0" shapeId="0">
      <text>
        <t>Source: backtest/backtest.py in github.com/lukemaass-hub/nba-board, on ESPN box scores (2024-25 and 2025-26 regular seasons, 2,460 games), run by Claude 2026-10-15.</t>
      </text>
    </comment>
    <comment ref="A13" authorId="0" shapeId="0">
      <text>
        <t>Source: backtest/backtest.py in github.com/lukemaass-hub/nba-board, on ESPN box scores (2024-25 and 2025-26 regular seasons, 2,460 games), run by Claude 2026-10-15.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5" customWidth="1" min="3" max="3"/>
    <col width="13" customWidth="1" min="4" max="4"/>
    <col width="13" customWidth="1" min="5" max="5"/>
    <col width="17" customWidth="1" min="6" max="6"/>
    <col width="15" customWidth="1" min="7" max="7"/>
  </cols>
  <sheetData>
    <row r="1">
      <c r="A1" s="1" t="inlineStr">
        <is>
          <t>Both models beat every simple rule: the #1 pick gained minutes 54% of the time, vs 45% for next man up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Ranking of healthy teammates by chance of playing 2+ minutes above their 10-game baseline, in team-games where a rotation player (15+ min baseline) is out.</t>
        </is>
      </c>
      <c r="B2" s="2" t="n"/>
      <c r="C2" s="2" t="n"/>
      <c r="D2" s="2" t="n"/>
      <c r="E2" s="2" t="n"/>
      <c r="F2" s="2" t="n"/>
      <c r="G2" s="2" t="n"/>
    </row>
    <row r="3">
      <c r="A3" s="3" t="n"/>
      <c r="B3" s="4" t="n"/>
      <c r="C3" s="4" t="n"/>
      <c r="D3" s="4" t="n"/>
      <c r="E3" s="4" t="n"/>
      <c r="F3" s="4" t="n"/>
      <c r="G3" s="4" t="n"/>
    </row>
    <row r="4">
      <c r="A4" s="5" t="inlineStr">
        <is>
          <t>Train 2024-25, test 2025-26</t>
        </is>
      </c>
      <c r="B4" s="4" t="n"/>
      <c r="C4" s="4" t="n"/>
      <c r="D4" s="4" t="n"/>
      <c r="E4" s="4" t="n"/>
      <c r="F4" s="4" t="n"/>
      <c r="G4" s="4" t="n"/>
    </row>
    <row r="5">
      <c r="A5" s="6" t="inlineStr">
        <is>
          <t>Method</t>
        </is>
      </c>
      <c r="B5" s="6" t="inlineStr">
        <is>
          <t>Units</t>
        </is>
      </c>
      <c r="C5" s="6" t="inlineStr">
        <is>
          <t>#1 pick is a gainer</t>
        </is>
      </c>
      <c r="D5" s="6" t="inlineStr">
        <is>
          <t>Top 3 precision</t>
        </is>
      </c>
      <c r="E5" s="6" t="inlineStr">
        <is>
          <t>Rank correlation</t>
        </is>
      </c>
      <c r="F5" s="6" t="inlineStr">
        <is>
          <t>#1 pick vs best simple rule</t>
        </is>
      </c>
      <c r="G5" s="6" t="inlineStr">
        <is>
          <t>Top 3 vs best simple rule</t>
        </is>
      </c>
    </row>
    <row r="6">
      <c r="A6" s="3" t="inlineStr">
        <is>
          <t>Random</t>
        </is>
      </c>
      <c r="B6" s="4" t="n">
        <v>1655</v>
      </c>
      <c r="C6" s="7" t="n">
        <v>0.3840799918443423</v>
      </c>
      <c r="D6" s="7" t="n">
        <v>0.3840799918443423</v>
      </c>
      <c r="E6" s="8" t="n">
        <v>0</v>
      </c>
      <c r="F6" s="4" t="n"/>
      <c r="G6" s="4" t="n"/>
    </row>
    <row r="7">
      <c r="A7" s="3" t="inlineStr">
        <is>
          <t>Highest usual minutes</t>
        </is>
      </c>
      <c r="B7" s="4" t="n">
        <v>1655</v>
      </c>
      <c r="C7" s="7" t="n">
        <v>0.3274924471299094</v>
      </c>
      <c r="D7" s="7" t="n">
        <v>0.3834843907351461</v>
      </c>
      <c r="E7" s="8" t="n">
        <v>0.06122495054927195</v>
      </c>
      <c r="F7" s="4" t="n"/>
      <c r="G7" s="4" t="n"/>
    </row>
    <row r="8">
      <c r="A8" s="3" t="inlineStr">
        <is>
          <t>Next man up (same position)</t>
        </is>
      </c>
      <c r="B8" s="4" t="n">
        <v>1655</v>
      </c>
      <c r="C8" s="7" t="n">
        <v>0.4459214501510574</v>
      </c>
      <c r="D8" s="7" t="n">
        <v>0.4108761329305136</v>
      </c>
      <c r="E8" s="8" t="n">
        <v>0.05092626230040486</v>
      </c>
      <c r="F8" s="4" t="n"/>
      <c r="G8" s="4" t="n"/>
    </row>
    <row r="9">
      <c r="A9" s="3" t="inlineStr">
        <is>
          <t>Simple model</t>
        </is>
      </c>
      <c r="B9" s="4" t="n">
        <v>1655</v>
      </c>
      <c r="C9" s="7" t="n">
        <v>0.5413897280966767</v>
      </c>
      <c r="D9" s="7" t="n">
        <v>0.4668680765357502</v>
      </c>
      <c r="E9" s="8" t="n">
        <v>0.2224127375490293</v>
      </c>
      <c r="F9" s="9">
        <f>C9-MAX(C7:C8)</f>
        <v/>
      </c>
      <c r="G9" s="9">
        <f>D9-MAX(D7:D8)</f>
        <v/>
      </c>
    </row>
    <row r="10">
      <c r="A10" s="3" t="inlineStr">
        <is>
          <t>Boosted ranker</t>
        </is>
      </c>
      <c r="B10" s="4" t="n">
        <v>1655</v>
      </c>
      <c r="C10" s="7" t="n">
        <v>0.5419939577039274</v>
      </c>
      <c r="D10" s="7" t="n">
        <v>0.4759315206445116</v>
      </c>
      <c r="E10" s="8" t="n">
        <v>0.2269196997336524</v>
      </c>
      <c r="F10" s="9">
        <f>C10-MAX(C7:C8)</f>
        <v/>
      </c>
      <c r="G10" s="9">
        <f>D10-MAX(D7:D8)</f>
        <v/>
      </c>
    </row>
    <row r="11">
      <c r="A11" s="3" t="inlineStr">
        <is>
          <t>Simple model vs Next man up (same position), 95% range of the #1-pick gap: +6.6 to +12.3 points (if both ends are above 0, the model is better)</t>
        </is>
      </c>
      <c r="B11" s="4" t="n"/>
      <c r="C11" s="4" t="n"/>
      <c r="D11" s="4" t="n"/>
      <c r="E11" s="4" t="n"/>
      <c r="F11" s="4" t="n"/>
      <c r="G11" s="4" t="n"/>
    </row>
    <row r="12">
      <c r="A12" s="3" t="inlineStr">
        <is>
          <t>Boosted ranker vs Next man up (same position), 95% range of the #1-pick gap: +6.9 to +12.4 points (if both ends are above 0, the model is better)</t>
        </is>
      </c>
      <c r="B12" s="4" t="n"/>
      <c r="C12" s="4" t="n"/>
      <c r="D12" s="4" t="n"/>
      <c r="E12" s="4" t="n"/>
      <c r="F12" s="4" t="n"/>
      <c r="G12" s="4" t="n"/>
    </row>
    <row r="13">
      <c r="A13" s="3" t="n"/>
      <c r="B13" s="4" t="n"/>
      <c r="C13" s="4" t="n"/>
      <c r="D13" s="4" t="n"/>
      <c r="E13" s="4" t="n"/>
      <c r="F13" s="4" t="n"/>
      <c r="G13" s="4" t="n"/>
    </row>
    <row r="14">
      <c r="A14" s="5" t="inlineStr">
        <is>
          <t>Train 2025-26, test 2024-25</t>
        </is>
      </c>
      <c r="B14" s="4" t="n"/>
      <c r="C14" s="4" t="n"/>
      <c r="D14" s="4" t="n"/>
      <c r="E14" s="4" t="n"/>
      <c r="F14" s="4" t="n"/>
      <c r="G14" s="4" t="n"/>
    </row>
    <row r="15">
      <c r="A15" s="6" t="inlineStr">
        <is>
          <t>Method</t>
        </is>
      </c>
      <c r="B15" s="6" t="inlineStr">
        <is>
          <t>Units</t>
        </is>
      </c>
      <c r="C15" s="6" t="inlineStr">
        <is>
          <t>#1 pick is a gainer</t>
        </is>
      </c>
      <c r="D15" s="6" t="inlineStr">
        <is>
          <t>Top 3 precision</t>
        </is>
      </c>
      <c r="E15" s="6" t="inlineStr">
        <is>
          <t>Rank correlation</t>
        </is>
      </c>
      <c r="F15" s="6" t="inlineStr">
        <is>
          <t>#1 pick vs best simple rule</t>
        </is>
      </c>
      <c r="G15" s="6" t="inlineStr">
        <is>
          <t>Top 3 vs best simple rule</t>
        </is>
      </c>
    </row>
    <row r="16">
      <c r="A16" s="3" t="inlineStr">
        <is>
          <t>Random</t>
        </is>
      </c>
      <c r="B16" s="4" t="n">
        <v>1388</v>
      </c>
      <c r="C16" s="7" t="n">
        <v>0.4002157744592902</v>
      </c>
      <c r="D16" s="7" t="n">
        <v>0.4002157744592902</v>
      </c>
      <c r="E16" s="8" t="n">
        <v>0</v>
      </c>
      <c r="F16" s="4" t="n"/>
      <c r="G16" s="4" t="n"/>
    </row>
    <row r="17">
      <c r="A17" s="3" t="inlineStr">
        <is>
          <t>Highest usual minutes</t>
        </is>
      </c>
      <c r="B17" s="4" t="n">
        <v>1388</v>
      </c>
      <c r="C17" s="7" t="n">
        <v>0.3342939481268011</v>
      </c>
      <c r="D17" s="7" t="n">
        <v>0.3996157540826129</v>
      </c>
      <c r="E17" s="8" t="n">
        <v>0.03251987507166096</v>
      </c>
      <c r="F17" s="4" t="n"/>
      <c r="G17" s="4" t="n"/>
    </row>
    <row r="18">
      <c r="A18" s="3" t="inlineStr">
        <is>
          <t>Next man up (same position)</t>
        </is>
      </c>
      <c r="B18" s="4" t="n">
        <v>1388</v>
      </c>
      <c r="C18" s="7" t="n">
        <v>0.4726224783861672</v>
      </c>
      <c r="D18" s="7" t="n">
        <v>0.425312199807877</v>
      </c>
      <c r="E18" s="8" t="n">
        <v>0.04608844968214748</v>
      </c>
      <c r="F18" s="4" t="n"/>
      <c r="G18" s="4" t="n"/>
    </row>
    <row r="19">
      <c r="A19" s="3" t="inlineStr">
        <is>
          <t>Simple model</t>
        </is>
      </c>
      <c r="B19" s="4" t="n">
        <v>1388</v>
      </c>
      <c r="C19" s="7" t="n">
        <v>0.5367435158501441</v>
      </c>
      <c r="D19" s="7" t="n">
        <v>0.4798270893371758</v>
      </c>
      <c r="E19" s="8" t="n">
        <v>0.2246152435752798</v>
      </c>
      <c r="F19" s="9">
        <f>C19-MAX(C17:C18)</f>
        <v/>
      </c>
      <c r="G19" s="9">
        <f>D19-MAX(D17:D18)</f>
        <v/>
      </c>
    </row>
    <row r="20">
      <c r="A20" s="3" t="inlineStr">
        <is>
          <t>Boosted ranker</t>
        </is>
      </c>
      <c r="B20" s="4" t="n">
        <v>1388</v>
      </c>
      <c r="C20" s="7" t="n">
        <v>0.5482708933717579</v>
      </c>
      <c r="D20" s="7" t="n">
        <v>0.4817483189241115</v>
      </c>
      <c r="E20" s="8" t="n">
        <v>0.2265994601215051</v>
      </c>
      <c r="F20" s="9">
        <f>C20-MAX(C17:C18)</f>
        <v/>
      </c>
      <c r="G20" s="9">
        <f>D20-MAX(D17:D18)</f>
        <v/>
      </c>
    </row>
    <row r="21">
      <c r="A21" s="3" t="inlineStr">
        <is>
          <t>Simple model vs Next man up (same position), 95% range of the #1-pick gap: +3.5 to +9.4 points (if both ends are above 0, the model is better)</t>
        </is>
      </c>
      <c r="B21" s="4" t="n"/>
      <c r="C21" s="4" t="n"/>
      <c r="D21" s="4" t="n"/>
      <c r="E21" s="4" t="n"/>
      <c r="F21" s="4" t="n"/>
      <c r="G21" s="4" t="n"/>
    </row>
    <row r="22">
      <c r="A22" s="3" t="inlineStr">
        <is>
          <t>Boosted ranker vs Next man up (same position), 95% range of the #1-pick gap: +4.6 to +10.5 points (if both ends are above 0, the model is better)</t>
        </is>
      </c>
      <c r="B22" s="4" t="n"/>
      <c r="C22" s="4" t="n"/>
      <c r="D22" s="4" t="n"/>
      <c r="E22" s="4" t="n"/>
      <c r="F22" s="4" t="n"/>
      <c r="G22" s="4" t="n"/>
    </row>
    <row r="23">
      <c r="A23" s="3" t="n"/>
      <c r="B23" s="4" t="n"/>
      <c r="C23" s="4" t="n"/>
      <c r="D23" s="4" t="n"/>
      <c r="E23" s="4" t="n"/>
      <c r="F23" s="4" t="n"/>
      <c r="G23" s="4" t="n"/>
    </row>
    <row r="24">
      <c r="A24" s="5" t="inlineStr">
        <is>
          <t>Walk-forward through 2025-26 (monthly re-train)</t>
        </is>
      </c>
      <c r="B24" s="4" t="n"/>
      <c r="C24" s="4" t="n"/>
      <c r="D24" s="4" t="n"/>
      <c r="E24" s="4" t="n"/>
      <c r="F24" s="4" t="n"/>
      <c r="G24" s="4" t="n"/>
    </row>
    <row r="25">
      <c r="A25" s="6" t="inlineStr">
        <is>
          <t>Method</t>
        </is>
      </c>
      <c r="B25" s="6" t="inlineStr">
        <is>
          <t>Units</t>
        </is>
      </c>
      <c r="C25" s="6" t="inlineStr">
        <is>
          <t>#1 pick is a gainer</t>
        </is>
      </c>
      <c r="D25" s="6" t="inlineStr">
        <is>
          <t>Top 3 precision</t>
        </is>
      </c>
      <c r="E25" s="6" t="inlineStr">
        <is>
          <t>Rank correlation</t>
        </is>
      </c>
      <c r="F25" s="6" t="inlineStr">
        <is>
          <t>#1 pick vs best simple rule</t>
        </is>
      </c>
      <c r="G25" s="6" t="inlineStr">
        <is>
          <t>Top 3 vs best simple rule</t>
        </is>
      </c>
    </row>
    <row r="26">
      <c r="A26" s="3" t="inlineStr">
        <is>
          <t>Random</t>
        </is>
      </c>
      <c r="B26" s="4" t="n">
        <v>1655</v>
      </c>
      <c r="C26" s="7" t="n">
        <v>0.3840799918443423</v>
      </c>
      <c r="D26" s="7" t="n">
        <v>0.3840799918443423</v>
      </c>
      <c r="E26" s="8" t="n">
        <v>0</v>
      </c>
      <c r="F26" s="4" t="n"/>
      <c r="G26" s="4" t="n"/>
    </row>
    <row r="27">
      <c r="A27" s="3" t="inlineStr">
        <is>
          <t>Highest usual minutes</t>
        </is>
      </c>
      <c r="B27" s="4" t="n">
        <v>1655</v>
      </c>
      <c r="C27" s="7" t="n">
        <v>0.3274924471299094</v>
      </c>
      <c r="D27" s="7" t="n">
        <v>0.3834843907351461</v>
      </c>
      <c r="E27" s="8" t="n">
        <v>0.06122495054927195</v>
      </c>
      <c r="F27" s="4" t="n"/>
      <c r="G27" s="4" t="n"/>
    </row>
    <row r="28">
      <c r="A28" s="3" t="inlineStr">
        <is>
          <t>Next man up (same position)</t>
        </is>
      </c>
      <c r="B28" s="4" t="n">
        <v>1655</v>
      </c>
      <c r="C28" s="7" t="n">
        <v>0.4459214501510574</v>
      </c>
      <c r="D28" s="7" t="n">
        <v>0.4108761329305136</v>
      </c>
      <c r="E28" s="8" t="n">
        <v>0.05092626230040486</v>
      </c>
      <c r="F28" s="4" t="n"/>
      <c r="G28" s="4" t="n"/>
    </row>
    <row r="29">
      <c r="A29" s="3" t="inlineStr">
        <is>
          <t>Simple model</t>
        </is>
      </c>
      <c r="B29" s="4" t="n">
        <v>1655</v>
      </c>
      <c r="C29" s="7" t="n">
        <v>0.5389728096676737</v>
      </c>
      <c r="D29" s="7" t="n">
        <v>0.4688821752265861</v>
      </c>
      <c r="E29" s="8" t="n">
        <v>0.2235529289240497</v>
      </c>
      <c r="F29" s="9">
        <f>C29-MAX(C27:C28)</f>
        <v/>
      </c>
      <c r="G29" s="9">
        <f>D29-MAX(D27:D28)</f>
        <v/>
      </c>
    </row>
    <row r="30">
      <c r="A30" s="3" t="inlineStr">
        <is>
          <t>Boosted ranker</t>
        </is>
      </c>
      <c r="B30" s="4" t="n">
        <v>1655</v>
      </c>
      <c r="C30" s="7" t="n">
        <v>0.5631419939577039</v>
      </c>
      <c r="D30" s="7" t="n">
        <v>0.4835850956696878</v>
      </c>
      <c r="E30" s="8" t="n">
        <v>0.2387187236103884</v>
      </c>
      <c r="F30" s="9">
        <f>C30-MAX(C27:C28)</f>
        <v/>
      </c>
      <c r="G30" s="9">
        <f>D30-MAX(D27:D28)</f>
        <v/>
      </c>
    </row>
    <row r="31">
      <c r="A31" s="3" t="n"/>
      <c r="B31" s="4" t="n"/>
      <c r="C31" s="4" t="n"/>
      <c r="D31" s="4" t="n"/>
      <c r="E31" s="4" t="n"/>
      <c r="F31" s="4" t="n"/>
      <c r="G31" s="4" t="n"/>
    </row>
    <row r="32">
      <c r="A32" s="3" t="inlineStr">
        <is>
          <t>Gainer = played 2+ minutes more than his average of the previous 10 games. 37.9% of healthy teammates were gainers, so a random pick scores about that.</t>
        </is>
      </c>
      <c r="B32" s="4" t="n"/>
      <c r="C32" s="4" t="n"/>
      <c r="D32" s="4" t="n"/>
      <c r="E32" s="4" t="n"/>
      <c r="F32" s="4" t="n"/>
      <c r="G32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Walk-forward through 2025-26: #1 pick is a gainer, by month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6" t="inlineStr">
        <is>
          <t>Month</t>
        </is>
      </c>
      <c r="B3" s="6" t="inlineStr">
        <is>
          <t>Units</t>
        </is>
      </c>
      <c r="C3" s="6" t="inlineStr">
        <is>
          <t>Random</t>
        </is>
      </c>
      <c r="D3" s="6" t="inlineStr">
        <is>
          <t>Highest usual minutes</t>
        </is>
      </c>
      <c r="E3" s="6" t="inlineStr">
        <is>
          <t>Next man up (same position)</t>
        </is>
      </c>
      <c r="F3" s="6" t="inlineStr">
        <is>
          <t>Simple model</t>
        </is>
      </c>
      <c r="G3" s="6" t="inlineStr">
        <is>
          <t>Boosted ranker</t>
        </is>
      </c>
    </row>
    <row r="4">
      <c r="A4" s="2" t="inlineStr">
        <is>
          <t>'2025-10</t>
        </is>
      </c>
      <c r="B4" s="2" t="n">
        <v>98</v>
      </c>
      <c r="C4" s="10" t="n">
        <v>0.3602000323939099</v>
      </c>
      <c r="D4" s="10" t="n">
        <v>0.336734693877551</v>
      </c>
      <c r="E4" s="10" t="n">
        <v>0.3163265306122449</v>
      </c>
      <c r="F4" s="10" t="n">
        <v>0.5204081632653061</v>
      </c>
      <c r="G4" s="10" t="n">
        <v>0.4591836734693878</v>
      </c>
    </row>
    <row r="5">
      <c r="A5" s="2" t="inlineStr">
        <is>
          <t>'2025-11</t>
        </is>
      </c>
      <c r="B5" s="2" t="n">
        <v>305</v>
      </c>
      <c r="C5" s="10" t="n">
        <v>0.3915139687270835</v>
      </c>
      <c r="D5" s="10" t="n">
        <v>0.3770491803278688</v>
      </c>
      <c r="E5" s="10" t="n">
        <v>0.4557377049180328</v>
      </c>
      <c r="F5" s="10" t="n">
        <v>0.5606557377049181</v>
      </c>
      <c r="G5" s="10" t="n">
        <v>0.5672131147540984</v>
      </c>
    </row>
    <row r="6">
      <c r="A6" s="2" t="inlineStr">
        <is>
          <t>'2025-12</t>
        </is>
      </c>
      <c r="B6" s="2" t="n">
        <v>264</v>
      </c>
      <c r="C6" s="10" t="n">
        <v>0.3536299138571866</v>
      </c>
      <c r="D6" s="10" t="n">
        <v>0.2992424242424243</v>
      </c>
      <c r="E6" s="10" t="n">
        <v>0.4128787878787879</v>
      </c>
      <c r="F6" s="10" t="n">
        <v>0.5378787878787878</v>
      </c>
      <c r="G6" s="10" t="n">
        <v>0.5378787878787878</v>
      </c>
    </row>
    <row r="7">
      <c r="A7" s="2" t="inlineStr">
        <is>
          <t>'2026-01</t>
        </is>
      </c>
      <c r="B7" s="2" t="n">
        <v>310</v>
      </c>
      <c r="C7" s="10" t="n">
        <v>0.38630482420805</v>
      </c>
      <c r="D7" s="10" t="n">
        <v>0.3064516129032258</v>
      </c>
      <c r="E7" s="10" t="n">
        <v>0.4612903225806452</v>
      </c>
      <c r="F7" s="10" t="n">
        <v>0.5516129032258065</v>
      </c>
      <c r="G7" s="10" t="n">
        <v>0.6064516129032258</v>
      </c>
    </row>
    <row r="8">
      <c r="A8" s="2" t="inlineStr">
        <is>
          <t>'2026-02</t>
        </is>
      </c>
      <c r="B8" s="2" t="n">
        <v>222</v>
      </c>
      <c r="C8" s="10" t="n">
        <v>0.3666000416000416</v>
      </c>
      <c r="D8" s="10" t="n">
        <v>0.2567567567567567</v>
      </c>
      <c r="E8" s="10" t="n">
        <v>0.4684684684684685</v>
      </c>
      <c r="F8" s="10" t="n">
        <v>0.5675675675675675</v>
      </c>
      <c r="G8" s="10" t="n">
        <v>0.5855855855855856</v>
      </c>
    </row>
    <row r="9">
      <c r="A9" s="2" t="inlineStr">
        <is>
          <t>'2026-03</t>
        </is>
      </c>
      <c r="B9" s="2" t="n">
        <v>329</v>
      </c>
      <c r="C9" s="10" t="n">
        <v>0.3815056270983323</v>
      </c>
      <c r="D9" s="10" t="n">
        <v>0.3495440729483283</v>
      </c>
      <c r="E9" s="10" t="n">
        <v>0.4376899696048632</v>
      </c>
      <c r="F9" s="10" t="n">
        <v>0.4832826747720365</v>
      </c>
      <c r="G9" s="10" t="n">
        <v>0.5288753799392097</v>
      </c>
    </row>
    <row r="10">
      <c r="A10" s="2" t="inlineStr">
        <is>
          <t>'2026-04</t>
        </is>
      </c>
      <c r="B10" s="2" t="n">
        <v>127</v>
      </c>
      <c r="C10" s="10" t="n">
        <v>0.479745429548579</v>
      </c>
      <c r="D10" s="10" t="n">
        <v>0.3779527559055118</v>
      </c>
      <c r="E10" s="10" t="n">
        <v>0.5354330708661418</v>
      </c>
      <c r="F10" s="10" t="n">
        <v>0.5669291338582677</v>
      </c>
      <c r="G10" s="10" t="n">
        <v>0.6299212598425197</v>
      </c>
    </row>
    <row r="11">
      <c r="A11" s="11" t="inlineStr">
        <is>
          <t>Weighted by units</t>
        </is>
      </c>
      <c r="B11" s="2">
        <f>SUM(B4:B10)</f>
        <v/>
      </c>
      <c r="C11" s="12">
        <f>SUMPRODUCT($B4:$B10,C4:C10)/$B11</f>
        <v/>
      </c>
      <c r="D11" s="12">
        <f>SUMPRODUCT($B4:$B10,D4:D10)/$B11</f>
        <v/>
      </c>
      <c r="E11" s="12">
        <f>SUMPRODUCT($B4:$B10,E4:E10)/$B11</f>
        <v/>
      </c>
      <c r="F11" s="12">
        <f>SUMPRODUCT($B4:$B10,F4:F10)/$B11</f>
        <v/>
      </c>
      <c r="G11" s="12">
        <f>SUMPRODUCT($B4:$B10,G4:G10)/$B11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58" customWidth="1" min="1" max="1"/>
    <col width="30" customWidth="1" min="2" max="2"/>
  </cols>
  <sheetData>
    <row r="1">
      <c r="A1" s="1" t="inlineStr">
        <is>
          <t>What the models look at</t>
        </is>
      </c>
      <c r="B1" s="2" t="n"/>
    </row>
    <row r="2">
      <c r="A2" s="2" t="n"/>
      <c r="B2" s="2" t="n"/>
    </row>
    <row r="3">
      <c r="A3" s="6" t="inlineStr">
        <is>
          <t>Simple model input</t>
        </is>
      </c>
      <c r="B3" s="6" t="inlineStr">
        <is>
          <t>Weight (+ = more likely to gain)</t>
        </is>
      </c>
    </row>
    <row r="4">
      <c r="A4" s="2" t="inlineStr">
        <is>
          <t>his last 3 games vs his usual</t>
        </is>
      </c>
      <c r="B4" s="13" t="n">
        <v>0.38</v>
      </c>
    </row>
    <row r="5">
      <c r="A5" s="2" t="inlineStr">
        <is>
          <t>his spot in the bench order</t>
        </is>
      </c>
      <c r="B5" s="13" t="n">
        <v>-0.234</v>
      </c>
    </row>
    <row r="6">
      <c r="A6" s="2" t="inlineStr">
        <is>
          <t>his usual minutes (last 10 games)</t>
        </is>
      </c>
      <c r="B6" s="13" t="n">
        <v>-0.203</v>
      </c>
    </row>
    <row r="7">
      <c r="A7" s="2" t="inlineStr">
        <is>
          <t>his minutes rank on the team</t>
        </is>
      </c>
      <c r="B7" s="13" t="n">
        <v>-0.164</v>
      </c>
    </row>
    <row r="8">
      <c r="A8" s="2" t="inlineStr">
        <is>
          <t>how many games the main player has been out</t>
        </is>
      </c>
      <c r="B8" s="13" t="n">
        <v>-0.152</v>
      </c>
    </row>
    <row r="9">
      <c r="A9" s="2" t="inlineStr">
        <is>
          <t>he is a starter</t>
        </is>
      </c>
      <c r="B9" s="13" t="n">
        <v>-0.142</v>
      </c>
    </row>
    <row r="10">
      <c r="A10" s="2" t="inlineStr">
        <is>
          <t>how he did before when a similar player was out (shrunk)</t>
        </is>
      </c>
      <c r="B10" s="13" t="n">
        <v>0.139</v>
      </c>
    </row>
    <row r="11">
      <c r="A11" s="2" t="inlineStr">
        <is>
          <t>total minutes missing</t>
        </is>
      </c>
      <c r="B11" s="13" t="n">
        <v>0.122</v>
      </c>
    </row>
    <row r="12">
      <c r="A12" s="2" t="inlineStr">
        <is>
          <t>minutes missing at his position</t>
        </is>
      </c>
      <c r="B12" s="13" t="n">
        <v>0.11</v>
      </c>
    </row>
    <row r="13">
      <c r="A13" s="2" t="inlineStr">
        <is>
          <t>number of healthy teammates</t>
        </is>
      </c>
      <c r="B13" s="13" t="n">
        <v>-0.03</v>
      </c>
    </row>
    <row r="14">
      <c r="A14" s="2" t="inlineStr">
        <is>
          <t>how he did before in any game with a teammate out (shrunk)</t>
        </is>
      </c>
      <c r="B14" s="13" t="n">
        <v>0.03</v>
      </c>
    </row>
    <row r="15">
      <c r="A15" s="2" t="inlineStr">
        <is>
          <t>a starter at his position is out</t>
        </is>
      </c>
      <c r="B15" s="13" t="n">
        <v>0.029</v>
      </c>
    </row>
    <row r="16">
      <c r="A16" s="2" t="inlineStr">
        <is>
          <t>number of rotation players out</t>
        </is>
      </c>
      <c r="B16" s="13" t="n">
        <v>0.027</v>
      </c>
    </row>
    <row r="17">
      <c r="A17" s="2" t="inlineStr">
        <is>
          <t>plays the same position as the main player out</t>
        </is>
      </c>
      <c r="B17" s="13" t="n">
        <v>0.007</v>
      </c>
    </row>
    <row r="18">
      <c r="A18" s="2" t="n"/>
      <c r="B18" s="2" t="n"/>
    </row>
    <row r="19">
      <c r="A19" s="6" t="inlineStr">
        <is>
          <t>Boosted ranker input</t>
        </is>
      </c>
      <c r="B19" s="6" t="inlineStr">
        <is>
          <t>Share of what it learned</t>
        </is>
      </c>
    </row>
    <row r="20">
      <c r="A20" s="2" t="inlineStr">
        <is>
          <t>his last 3 games vs his usual</t>
        </is>
      </c>
      <c r="B20" s="10" t="n">
        <v>0.284</v>
      </c>
    </row>
    <row r="21">
      <c r="A21" s="2" t="inlineStr">
        <is>
          <t>his usual minutes (last 10 games)</t>
        </is>
      </c>
      <c r="B21" s="10" t="n">
        <v>0.202</v>
      </c>
    </row>
    <row r="22">
      <c r="A22" s="2" t="inlineStr">
        <is>
          <t>how he did before when a similar player was out (shrunk)</t>
        </is>
      </c>
      <c r="B22" s="10" t="n">
        <v>0.119</v>
      </c>
    </row>
    <row r="23">
      <c r="A23" s="2" t="inlineStr">
        <is>
          <t>how he did before in any game with a teammate out (shrunk)</t>
        </is>
      </c>
      <c r="B23" s="10" t="n">
        <v>0.099</v>
      </c>
    </row>
    <row r="24">
      <c r="A24" s="2" t="inlineStr">
        <is>
          <t>minutes missing at his position</t>
        </is>
      </c>
      <c r="B24" s="10" t="n">
        <v>0.076</v>
      </c>
    </row>
    <row r="25">
      <c r="A25" s="2" t="inlineStr">
        <is>
          <t>total minutes missing</t>
        </is>
      </c>
      <c r="B25" s="10" t="n">
        <v>0.076</v>
      </c>
    </row>
    <row r="26">
      <c r="A26" s="2" t="inlineStr">
        <is>
          <t>his minutes rank on the team</t>
        </is>
      </c>
      <c r="B26" s="10" t="n">
        <v>0.046</v>
      </c>
    </row>
    <row r="27">
      <c r="A27" s="2" t="inlineStr">
        <is>
          <t>how many games the main player has been out</t>
        </is>
      </c>
      <c r="B27" s="10" t="n">
        <v>0.023</v>
      </c>
    </row>
    <row r="28">
      <c r="A28" s="2" t="inlineStr">
        <is>
          <t>plays the same position as the main player out</t>
        </is>
      </c>
      <c r="B28" s="10" t="n">
        <v>0.018</v>
      </c>
    </row>
    <row r="29">
      <c r="A29" s="2" t="inlineStr">
        <is>
          <t>his spot in the bench order</t>
        </is>
      </c>
      <c r="B29" s="10" t="n">
        <v>0.017</v>
      </c>
    </row>
    <row r="30">
      <c r="A30" s="2" t="inlineStr">
        <is>
          <t>number of healthy teammates</t>
        </is>
      </c>
      <c r="B30" s="10" t="n">
        <v>0.017</v>
      </c>
    </row>
    <row r="31">
      <c r="A31" s="2" t="inlineStr">
        <is>
          <t>a starter at his position is out</t>
        </is>
      </c>
      <c r="B31" s="10" t="n">
        <v>0.009000000000000001</v>
      </c>
    </row>
    <row r="32">
      <c r="A32" s="2" t="inlineStr">
        <is>
          <t>he is a starter</t>
        </is>
      </c>
      <c r="B32" s="10" t="n">
        <v>0.006999999999999999</v>
      </c>
    </row>
    <row r="33">
      <c r="A33" s="2" t="inlineStr">
        <is>
          <t>number of rotation players out</t>
        </is>
      </c>
      <c r="B33" s="10" t="n">
        <v>0.006</v>
      </c>
    </row>
    <row r="34">
      <c r="A34" s="2" t="n"/>
      <c r="B34" s="2" t="n"/>
    </row>
    <row r="35">
      <c r="A35" s="2" t="inlineStr">
        <is>
          <t>Weights are on a common scale (each input standardized). Both models were trained on both seasons for this tab.</t>
        </is>
      </c>
      <c r="B35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24" customWidth="1" min="3" max="3"/>
    <col width="22" customWidth="1" min="4" max="4"/>
  </cols>
  <sheetData>
    <row r="1">
      <c r="A1" s="1" t="inlineStr">
        <is>
          <t>Where the model's #1 pick goes wrong (Boosted ranker, tested on 2025-26)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11" t="inlineStr">
        <is>
          <t>Players out</t>
        </is>
      </c>
      <c r="B3" s="2" t="n"/>
      <c r="C3" s="2" t="n"/>
      <c r="D3" s="2" t="n"/>
    </row>
    <row r="4">
      <c r="A4" s="6" t="inlineStr">
        <is>
          <t>Group</t>
        </is>
      </c>
      <c r="B4" s="6" t="inlineStr">
        <is>
          <t>Model #1 pick right</t>
        </is>
      </c>
      <c r="C4" s="6" t="inlineStr">
        <is>
          <t>Next man up #1 pick right</t>
        </is>
      </c>
      <c r="D4" s="6" t="inlineStr">
        <is>
          <t>Model minus next man up</t>
        </is>
      </c>
    </row>
    <row r="5">
      <c r="A5" s="2" t="inlineStr">
        <is>
          <t>'1</t>
        </is>
      </c>
      <c r="B5" s="10" t="n">
        <v>0.492</v>
      </c>
      <c r="C5" s="10" t="n">
        <v>0.396</v>
      </c>
      <c r="D5" s="14">
        <f>B5-C5</f>
        <v/>
      </c>
    </row>
    <row r="6">
      <c r="A6" s="2" t="inlineStr">
        <is>
          <t>'2</t>
        </is>
      </c>
      <c r="B6" s="10" t="n">
        <v>0.556</v>
      </c>
      <c r="C6" s="10" t="n">
        <v>0.437</v>
      </c>
      <c r="D6" s="14">
        <f>B6-C6</f>
        <v/>
      </c>
    </row>
    <row r="7">
      <c r="A7" s="2" t="inlineStr">
        <is>
          <t>'3+</t>
        </is>
      </c>
      <c r="B7" s="10" t="n">
        <v>0.656</v>
      </c>
      <c r="C7" s="10" t="n">
        <v>0.595</v>
      </c>
      <c r="D7" s="14">
        <f>B7-C7</f>
        <v/>
      </c>
    </row>
    <row r="8">
      <c r="A8" s="2" t="n"/>
      <c r="B8" s="2" t="n"/>
      <c r="C8" s="2" t="n"/>
      <c r="D8" s="2" t="n"/>
    </row>
    <row r="9">
      <c r="A9" s="11" t="inlineStr">
        <is>
          <t>Position of main player out</t>
        </is>
      </c>
      <c r="B9" s="2" t="n"/>
      <c r="C9" s="2" t="n"/>
      <c r="D9" s="2" t="n"/>
    </row>
    <row r="10">
      <c r="A10" s="6" t="inlineStr">
        <is>
          <t>Group</t>
        </is>
      </c>
      <c r="B10" s="6" t="inlineStr">
        <is>
          <t>Model #1 pick right</t>
        </is>
      </c>
      <c r="C10" s="6" t="inlineStr">
        <is>
          <t>Next man up #1 pick right</t>
        </is>
      </c>
      <c r="D10" s="6" t="inlineStr">
        <is>
          <t>Model minus next man up</t>
        </is>
      </c>
    </row>
    <row r="11">
      <c r="A11" s="2" t="inlineStr">
        <is>
          <t>'C</t>
        </is>
      </c>
      <c r="B11" s="10" t="n">
        <v>0.5629999999999999</v>
      </c>
      <c r="C11" s="10" t="n">
        <v>0.494</v>
      </c>
      <c r="D11" s="14">
        <f>B11-C11</f>
        <v/>
      </c>
    </row>
    <row r="12">
      <c r="A12" s="2" t="inlineStr">
        <is>
          <t>'F</t>
        </is>
      </c>
      <c r="B12" s="10" t="n">
        <v>0.543</v>
      </c>
      <c r="C12" s="10" t="n">
        <v>0.394</v>
      </c>
      <c r="D12" s="14">
        <f>B12-C12</f>
        <v/>
      </c>
    </row>
    <row r="13">
      <c r="A13" s="2" t="inlineStr">
        <is>
          <t>'G</t>
        </is>
      </c>
      <c r="B13" s="10" t="n">
        <v>0.534</v>
      </c>
      <c r="C13" s="10" t="n">
        <v>0.474</v>
      </c>
      <c r="D13" s="14">
        <f>B13-C13</f>
        <v/>
      </c>
    </row>
    <row r="14">
      <c r="A14" s="2" t="n"/>
      <c r="B14" s="2" t="n"/>
      <c r="C14" s="2" t="n"/>
      <c r="D14" s="2" t="n"/>
    </row>
    <row r="15">
      <c r="A15" s="11" t="inlineStr">
        <is>
          <t>Game of the absence</t>
        </is>
      </c>
      <c r="B15" s="2" t="n"/>
      <c r="C15" s="2" t="n"/>
      <c r="D15" s="2" t="n"/>
    </row>
    <row r="16">
      <c r="A16" s="6" t="inlineStr">
        <is>
          <t>Group</t>
        </is>
      </c>
      <c r="B16" s="6" t="inlineStr">
        <is>
          <t>Model #1 pick right</t>
        </is>
      </c>
      <c r="C16" s="6" t="inlineStr">
        <is>
          <t>Next man up #1 pick right</t>
        </is>
      </c>
      <c r="D16" s="6" t="inlineStr">
        <is>
          <t>Model minus next man up</t>
        </is>
      </c>
    </row>
    <row r="17">
      <c r="A17" s="2" t="inlineStr">
        <is>
          <t>'1st game out</t>
        </is>
      </c>
      <c r="B17" s="10" t="n">
        <v>0.5600000000000001</v>
      </c>
      <c r="C17" s="10" t="n">
        <v>0.487</v>
      </c>
      <c r="D17" s="14">
        <f>B17-C17</f>
        <v/>
      </c>
    </row>
    <row r="18">
      <c r="A18" s="2" t="inlineStr">
        <is>
          <t>'2nd-3rd</t>
        </is>
      </c>
      <c r="B18" s="10" t="n">
        <v>0.5620000000000001</v>
      </c>
      <c r="C18" s="10" t="n">
        <v>0.468</v>
      </c>
      <c r="D18" s="14">
        <f>B18-C18</f>
        <v/>
      </c>
    </row>
    <row r="19">
      <c r="A19" s="2" t="inlineStr">
        <is>
          <t>'4th-10th</t>
        </is>
      </c>
      <c r="B19" s="10" t="n">
        <v>0.512</v>
      </c>
      <c r="C19" s="10" t="n">
        <v>0.395</v>
      </c>
      <c r="D19" s="14">
        <f>B19-C19</f>
        <v/>
      </c>
    </row>
    <row r="20">
      <c r="A20" s="2" t="n"/>
      <c r="B20" s="2" t="n"/>
      <c r="C20" s="2" t="n"/>
      <c r="D20" s="2" t="n"/>
    </row>
    <row r="21">
      <c r="A21" s="11" t="inlineStr">
        <is>
          <t>Time of season</t>
        </is>
      </c>
      <c r="B21" s="2" t="n"/>
      <c r="C21" s="2" t="n"/>
      <c r="D21" s="2" t="n"/>
    </row>
    <row r="22">
      <c r="A22" s="6" t="inlineStr">
        <is>
          <t>Group</t>
        </is>
      </c>
      <c r="B22" s="6" t="inlineStr">
        <is>
          <t>Model #1 pick right</t>
        </is>
      </c>
      <c r="C22" s="6" t="inlineStr">
        <is>
          <t>Next man up #1 pick right</t>
        </is>
      </c>
      <c r="D22" s="6" t="inlineStr">
        <is>
          <t>Model minus next man up</t>
        </is>
      </c>
    </row>
    <row r="23">
      <c r="A23" s="2" t="inlineStr">
        <is>
          <t>'April (end of season)</t>
        </is>
      </c>
      <c r="B23" s="10" t="n">
        <v>0.622</v>
      </c>
      <c r="C23" s="10" t="n">
        <v>0.535</v>
      </c>
      <c r="D23" s="14">
        <f>B23-C23</f>
        <v/>
      </c>
    </row>
    <row r="24">
      <c r="A24" s="2" t="inlineStr">
        <is>
          <t>'Oct-Mar</t>
        </is>
      </c>
      <c r="B24" s="10" t="n">
        <v>0.535</v>
      </c>
      <c r="C24" s="10" t="n">
        <v>0.438</v>
      </c>
      <c r="D24" s="14">
        <f>B24-C24</f>
        <v/>
      </c>
    </row>
    <row r="25">
      <c r="A25" s="2" t="n"/>
      <c r="B25" s="2" t="n"/>
      <c r="C25" s="2" t="n"/>
      <c r="D25" s="2" t="n"/>
    </row>
    <row r="26">
      <c r="A26" s="11" t="inlineStr">
        <is>
          <t>Gainers available</t>
        </is>
      </c>
      <c r="B26" s="2" t="n"/>
      <c r="C26" s="2" t="n"/>
      <c r="D26" s="2" t="n"/>
    </row>
    <row r="27">
      <c r="A27" s="6" t="inlineStr">
        <is>
          <t>Group</t>
        </is>
      </c>
      <c r="B27" s="6" t="inlineStr">
        <is>
          <t>Model #1 pick right</t>
        </is>
      </c>
      <c r="C27" s="6" t="inlineStr">
        <is>
          <t>Next man up #1 pick right</t>
        </is>
      </c>
      <c r="D27" s="6" t="inlineStr">
        <is>
          <t>Model minus next man up</t>
        </is>
      </c>
    </row>
    <row r="28">
      <c r="A28" s="2" t="inlineStr">
        <is>
          <t>'0</t>
        </is>
      </c>
      <c r="B28" s="10" t="n">
        <v>0</v>
      </c>
      <c r="C28" s="10" t="n">
        <v>0</v>
      </c>
      <c r="D28" s="14">
        <f>B28-C28</f>
        <v/>
      </c>
    </row>
    <row r="29">
      <c r="A29" s="2" t="inlineStr">
        <is>
          <t>'1-2</t>
        </is>
      </c>
      <c r="B29" s="10" t="n">
        <v>0.395</v>
      </c>
      <c r="C29" s="10" t="n">
        <v>0.318</v>
      </c>
      <c r="D29" s="14">
        <f>B29-C29</f>
        <v/>
      </c>
    </row>
    <row r="30">
      <c r="A30" s="2" t="inlineStr">
        <is>
          <t>'3+</t>
        </is>
      </c>
      <c r="B30" s="10" t="n">
        <v>0.6830000000000001</v>
      </c>
      <c r="C30" s="10" t="n">
        <v>0.5669999999999999</v>
      </c>
      <c r="D30" s="14">
        <f>B30-C30</f>
        <v/>
      </c>
    </row>
    <row r="31">
      <c r="A31" s="2" t="n"/>
      <c r="B31" s="2" t="n"/>
      <c r="C31" s="2" t="n"/>
      <c r="D31" s="2" t="n"/>
    </row>
    <row r="32">
      <c r="A32" s="2" t="inlineStr">
        <is>
          <t>no gainer at all (nobody could be right)</t>
        </is>
      </c>
      <c r="B32" s="10" t="n">
        <v>0.048</v>
      </c>
      <c r="C32" s="2" t="n"/>
      <c r="D3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40" customWidth="1" min="4" max="4"/>
    <col width="48" customWidth="1" min="5" max="5"/>
    <col width="28" customWidth="1" min="6" max="6"/>
  </cols>
  <sheetData>
    <row r="1">
      <c r="A1" s="1" t="inlineStr">
        <is>
          <t>Examples from 2025-26 (games with 30+ minutes missing)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11" t="inlineStr">
        <is>
          <t>Hits: the #1 pick gained minutes</t>
        </is>
      </c>
      <c r="B3" s="2" t="n"/>
      <c r="C3" s="2" t="n"/>
      <c r="D3" s="2" t="n"/>
      <c r="E3" s="2" t="n"/>
      <c r="F3" s="2" t="n"/>
    </row>
    <row r="4">
      <c r="A4" s="6" t="inlineStr">
        <is>
          <t>Date</t>
        </is>
      </c>
      <c r="B4" s="6" t="inlineStr">
        <is>
          <t>Team</t>
        </is>
      </c>
      <c r="C4" s="6" t="inlineStr">
        <is>
          <t>Opponent</t>
        </is>
      </c>
      <c r="D4" s="6" t="inlineStr">
        <is>
          <t>Out (baseline minutes)</t>
        </is>
      </c>
      <c r="E4" s="6" t="inlineStr">
        <is>
          <t>Model's top 3 (actual change)</t>
        </is>
      </c>
      <c r="F4" s="6" t="inlineStr">
        <is>
          <t>Biggest real gainer</t>
        </is>
      </c>
    </row>
    <row r="5">
      <c r="A5" s="15" t="inlineStr">
        <is>
          <t>2025-11-12</t>
        </is>
      </c>
      <c r="B5" s="15" t="inlineStr">
        <is>
          <t>DET</t>
        </is>
      </c>
      <c r="C5" s="15" t="inlineStr">
        <is>
          <t>CHI</t>
        </is>
      </c>
      <c r="D5" s="15" t="inlineStr">
        <is>
          <t>Cade Cunningham (37); Isaiah Stewart (23); Jalen Duren (30); Ausar Thompson (29); Tobias Harris (28)</t>
        </is>
      </c>
      <c r="E5" s="15" t="inlineStr">
        <is>
          <t>Daniss Jenkins (+30), Chaz Lanier (+8), Bobi Klintman (+7)</t>
        </is>
      </c>
      <c r="F5" s="15" t="inlineStr">
        <is>
          <t>Daniss Jenkins (+30)</t>
        </is>
      </c>
    </row>
    <row r="6">
      <c r="A6" s="15" t="inlineStr">
        <is>
          <t>2026-04-10</t>
        </is>
      </c>
      <c r="B6" s="15" t="inlineStr">
        <is>
          <t>OKC</t>
        </is>
      </c>
      <c r="C6" s="15" t="inlineStr">
        <is>
          <t>DEN</t>
        </is>
      </c>
      <c r="D6" s="15" t="inlineStr">
        <is>
          <t>Alex Caruso (16); Isaiah Hartenstein (20); Shai Gilgeous-Alexander (32); Isaiah Joe (17); Jaylin Williams (16); Chet Holmgren (26); Jalen Williams (24); Cason Wallace (22); Ajay Mitchell (23)</t>
        </is>
      </c>
      <c r="E6" s="15" t="inlineStr">
        <is>
          <t>Nikola Topic (+29), Kenrich Williams (+23), Brooks Barnhizer (+26)</t>
        </is>
      </c>
      <c r="F6" s="15" t="inlineStr">
        <is>
          <t>Branden Carlson (+29)</t>
        </is>
      </c>
    </row>
    <row r="7">
      <c r="A7" s="15" t="inlineStr">
        <is>
          <t>2026-02-03</t>
        </is>
      </c>
      <c r="B7" s="15" t="inlineStr">
        <is>
          <t>IND</t>
        </is>
      </c>
      <c r="C7" s="15" t="inlineStr">
        <is>
          <t>UTA</t>
        </is>
      </c>
      <c r="D7" s="15" t="inlineStr">
        <is>
          <t>T.J. McConnell (16); Pascal Siakam (34); Andrew Nembhard (33); Aaron Nesmith (32)</t>
        </is>
      </c>
      <c r="E7" s="15" t="inlineStr">
        <is>
          <t>Kam Jones (+28), Quenton Jackson (+3), Taelon Peter (+26)</t>
        </is>
      </c>
      <c r="F7" s="15" t="inlineStr">
        <is>
          <t>Kam Jones (+28)</t>
        </is>
      </c>
    </row>
    <row r="8">
      <c r="A8" s="15" t="inlineStr">
        <is>
          <t>2026-04-12</t>
        </is>
      </c>
      <c r="B8" s="15" t="inlineStr">
        <is>
          <t>ATL</t>
        </is>
      </c>
      <c r="C8" s="15" t="inlineStr">
        <is>
          <t>MIA</t>
        </is>
      </c>
      <c r="D8" s="15" t="inlineStr">
        <is>
          <t>Onyeka Okongwu (30); Jalen Johnson (35); Dyson Daniels (33)</t>
        </is>
      </c>
      <c r="E8" s="15" t="inlineStr">
        <is>
          <t>Asa Newell (+28), Mouhamed Gueye (-14), Zaccharie Risacher (+8)</t>
        </is>
      </c>
      <c r="F8" s="15" t="inlineStr">
        <is>
          <t>Asa Newell (+28)</t>
        </is>
      </c>
    </row>
    <row r="9">
      <c r="A9" s="15" t="inlineStr">
        <is>
          <t>2026-01-16</t>
        </is>
      </c>
      <c r="B9" s="15" t="inlineStr">
        <is>
          <t>LAC</t>
        </is>
      </c>
      <c r="C9" s="15" t="inlineStr">
        <is>
          <t>TOR</t>
        </is>
      </c>
      <c r="D9" s="15" t="inlineStr">
        <is>
          <t>Derrick Jones Jr. (24); Kawhi Leonard (34)</t>
        </is>
      </c>
      <c r="E9" s="15" t="inlineStr">
        <is>
          <t>Jordan Miller (+28), Nicolas Batum (-16), Cam Christie (+14)</t>
        </is>
      </c>
      <c r="F9" s="15" t="inlineStr">
        <is>
          <t>Jordan Miller (+28)</t>
        </is>
      </c>
    </row>
    <row r="10">
      <c r="A10" s="15" t="inlineStr">
        <is>
          <t>2026-04-07</t>
        </is>
      </c>
      <c r="B10" s="15" t="inlineStr">
        <is>
          <t>NOP</t>
        </is>
      </c>
      <c r="C10" s="15" t="inlineStr">
        <is>
          <t>UTA</t>
        </is>
      </c>
      <c r="D10" s="15" t="inlineStr">
        <is>
          <t>Dejounte Murray (29); Trey Murphy III (35); Karlo Matkovic (19); Yves Missi (23)</t>
        </is>
      </c>
      <c r="E10" s="15" t="inlineStr">
        <is>
          <t>Micah Peavy (+26), Derik Queen (+16), Jeremiah Fears (+12)</t>
        </is>
      </c>
      <c r="F10" s="15" t="inlineStr">
        <is>
          <t>Micah Peavy (+26)</t>
        </is>
      </c>
    </row>
    <row r="11">
      <c r="A11" s="2" t="n"/>
      <c r="B11" s="2" t="n"/>
      <c r="C11" s="2" t="n"/>
      <c r="D11" s="2" t="n"/>
      <c r="E11" s="2" t="n"/>
      <c r="F11" s="2" t="n"/>
    </row>
    <row r="12">
      <c r="A12" s="11" t="inlineStr">
        <is>
          <t>Misses: the #1 pick did not, though someone else did</t>
        </is>
      </c>
      <c r="B12" s="2" t="n"/>
      <c r="C12" s="2" t="n"/>
      <c r="D12" s="2" t="n"/>
      <c r="E12" s="2" t="n"/>
      <c r="F12" s="2" t="n"/>
    </row>
    <row r="13">
      <c r="A13" s="6" t="inlineStr">
        <is>
          <t>Date</t>
        </is>
      </c>
      <c r="B13" s="6" t="inlineStr">
        <is>
          <t>Team</t>
        </is>
      </c>
      <c r="C13" s="6" t="inlineStr">
        <is>
          <t>Opponent</t>
        </is>
      </c>
      <c r="D13" s="6" t="inlineStr">
        <is>
          <t>Out (baseline minutes)</t>
        </is>
      </c>
      <c r="E13" s="6" t="inlineStr">
        <is>
          <t>Model's top 3 (actual change)</t>
        </is>
      </c>
      <c r="F13" s="6" t="inlineStr">
        <is>
          <t>Biggest real gainer</t>
        </is>
      </c>
    </row>
    <row r="14">
      <c r="A14" s="15" t="inlineStr">
        <is>
          <t>2026-04-10</t>
        </is>
      </c>
      <c r="B14" s="15" t="inlineStr">
        <is>
          <t>MEM</t>
        </is>
      </c>
      <c r="C14" s="15" t="inlineStr">
        <is>
          <t>UTA</t>
        </is>
      </c>
      <c r="D14" s="15" t="inlineStr">
        <is>
          <t>Cam Spencer (23); Cedric Coward (24); GG Jackson (25); Jaylen Wells (25)</t>
        </is>
      </c>
      <c r="E14" s="15" t="inlineStr">
        <is>
          <t>Javon Small (-25), Lucas Williamson (+20), Jahmai Mashack (+20)</t>
        </is>
      </c>
      <c r="F14" s="15" t="inlineStr">
        <is>
          <t>Jahmai Mashack (+20)</t>
        </is>
      </c>
    </row>
    <row r="15">
      <c r="A15" s="15" t="inlineStr">
        <is>
          <t>2026-01-10</t>
        </is>
      </c>
      <c r="B15" s="15" t="inlineStr">
        <is>
          <t>UTA</t>
        </is>
      </c>
      <c r="C15" s="15" t="inlineStr">
        <is>
          <t>CHA</t>
        </is>
      </c>
      <c r="D15" s="15" t="inlineStr">
        <is>
          <t>Lauri Markkanen (38); Oscar Tshiebwe (20); Ace Bailey (26)</t>
        </is>
      </c>
      <c r="E15" s="15" t="inlineStr">
        <is>
          <t>Svi Mykhailiuk (-22), Cody Williams (+16), Isaiah Collier (+10)</t>
        </is>
      </c>
      <c r="F15" s="15" t="inlineStr">
        <is>
          <t>Cody Williams (+16)</t>
        </is>
      </c>
    </row>
    <row r="16">
      <c r="A16" s="15" t="inlineStr">
        <is>
          <t>2025-12-05</t>
        </is>
      </c>
      <c r="B16" s="15" t="inlineStr">
        <is>
          <t>PHI</t>
        </is>
      </c>
      <c r="C16" s="15" t="inlineStr">
        <is>
          <t>MIL</t>
        </is>
      </c>
      <c r="D16" s="15" t="inlineStr">
        <is>
          <t>Joel Embiid (25); Kelly Oubre Jr. (35)</t>
        </is>
      </c>
      <c r="E16" s="15" t="inlineStr">
        <is>
          <t>Justin Edwards (-22), Paul George (+3), Adem Bona (+8)</t>
        </is>
      </c>
      <c r="F16" s="15" t="inlineStr">
        <is>
          <t>Adem Bona (+8)</t>
        </is>
      </c>
    </row>
    <row r="17">
      <c r="A17" s="15" t="inlineStr">
        <is>
          <t>2026-03-21</t>
        </is>
      </c>
      <c r="B17" s="15" t="inlineStr">
        <is>
          <t>UTA</t>
        </is>
      </c>
      <c r="C17" s="15" t="inlineStr">
        <is>
          <t>PHI</t>
        </is>
      </c>
      <c r="D17" s="15" t="inlineStr">
        <is>
          <t>Keyonte George (27); Isaiah Collier (27); Brice Sensabaugh (26)</t>
        </is>
      </c>
      <c r="E17" s="15" t="inlineStr">
        <is>
          <t>Blake Hinson (-20), Elijah Harkless (+12), Kyle Filipowski (-9)</t>
        </is>
      </c>
      <c r="F17" s="15" t="inlineStr">
        <is>
          <t>Elijah Harkless (+12)</t>
        </is>
      </c>
    </row>
    <row r="18">
      <c r="A18" s="15" t="inlineStr">
        <is>
          <t>2026-03-19</t>
        </is>
      </c>
      <c r="B18" s="15" t="inlineStr">
        <is>
          <t>WAS</t>
        </is>
      </c>
      <c r="C18" s="15" t="inlineStr">
        <is>
          <t>DET</t>
        </is>
      </c>
      <c r="D18" s="15" t="inlineStr">
        <is>
          <t>Leaky Black (32); Julian Reese (30); Bilal Coulibaly (28); Kyshawn George (20)</t>
        </is>
      </c>
      <c r="E18" s="15" t="inlineStr">
        <is>
          <t>Justin Champagnie (-20), Anthony Gill (+1), Tre Johnson (+2)</t>
        </is>
      </c>
      <c r="F18" s="15" t="inlineStr">
        <is>
          <t>Sharife Cooper (+14)</t>
        </is>
      </c>
    </row>
    <row r="19">
      <c r="A19" s="15" t="inlineStr">
        <is>
          <t>2026-03-01</t>
        </is>
      </c>
      <c r="B19" s="15" t="inlineStr">
        <is>
          <t>POR</t>
        </is>
      </c>
      <c r="C19" s="15" t="inlineStr">
        <is>
          <t>ATL</t>
        </is>
      </c>
      <c r="D19" s="15" t="inlineStr">
        <is>
          <t>Robert Williams III (17); Caleb Love (24); Deni Avdija (27); Shaedon Sharpe (30)</t>
        </is>
      </c>
      <c r="E19" s="15" t="inlineStr">
        <is>
          <t>Kris Murray (-20), Scoot Henderson (+1), Donovan Clingan (+2)</t>
        </is>
      </c>
      <c r="F19" s="15" t="inlineStr">
        <is>
          <t>Toumani Camara (+3)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40" customWidth="1" min="3" max="3"/>
    <col width="26" customWidth="1" min="4" max="4"/>
    <col width="50" customWidth="1" min="5" max="5"/>
    <col width="50" customWidth="1" min="6" max="6"/>
    <col width="12" customWidth="1" min="7" max="7"/>
    <col width="12" customWidth="1" min="8" max="8"/>
    <col width="22" customWidth="1" min="9" max="9"/>
    <col width="50" customWidth="1" min="10" max="10"/>
    <col width="24" customWidth="1" min="11" max="11"/>
  </cols>
  <sheetData>
    <row r="1">
      <c r="A1" s="6" t="inlineStr">
        <is>
          <t>Written to</t>
        </is>
      </c>
      <c r="B1" s="6" t="inlineStr">
        <is>
          <t>Source</t>
        </is>
      </c>
      <c r="C1" s="6" t="inlineStr">
        <is>
          <t>Object</t>
        </is>
      </c>
      <c r="D1" s="6" t="inlineStr">
        <is>
          <t>Obtained via</t>
        </is>
      </c>
      <c r="E1" s="6" t="inlineStr">
        <is>
          <t>Query or request</t>
        </is>
      </c>
      <c r="F1" s="6" t="inlineStr">
        <is>
          <t>Parameters</t>
        </is>
      </c>
      <c r="G1" s="6" t="inlineStr">
        <is>
          <t>Run at</t>
        </is>
      </c>
      <c r="H1" s="6" t="inlineStr">
        <is>
          <t>Requested by</t>
        </is>
      </c>
      <c r="I1" s="6" t="inlineStr">
        <is>
          <t>Row count</t>
        </is>
      </c>
      <c r="J1" s="6" t="inlineStr">
        <is>
          <t>Changes after retrieval</t>
        </is>
      </c>
      <c r="K1" s="6" t="inlineStr">
        <is>
          <t>Notes</t>
        </is>
      </c>
    </row>
    <row r="2">
      <c r="A2" s="15" t="inlineStr">
        <is>
          <t>Summary, By month, What matters, Where it fails, Examples</t>
        </is>
      </c>
      <c r="B2" s="15" t="inlineStr">
        <is>
          <t>ESPN public JSON (scoreboard + game summary box scores)</t>
        </is>
      </c>
      <c r="C2" s="15" t="inlineStr">
        <is>
          <t>site.api.espn.com/apis/site/v2/sports/basketball/nba/summary?event=ID</t>
        </is>
      </c>
      <c r="D2" s="15" t="inlineStr">
        <is>
          <t>Downloaded and scored by Claude (backtest/ scripts)</t>
        </is>
      </c>
      <c r="E2" s="15" t="inlineStr">
        <is>
          <t>Backtest which healthy teammates gain 2+ minutes when a rotation teammate is out; train 2024-25 test 2025-26, swap, walk-forward</t>
        </is>
      </c>
      <c r="F2" s="15" t="inlineStr">
        <is>
          <t>Regular season only; players on more than one team dropped; out = inactive or DNP injury/illness/rest; baseline = previous 10 games played</t>
        </is>
      </c>
      <c r="G2" s="15" t="inlineStr">
        <is>
          <t>2026-10-15</t>
        </is>
      </c>
      <c r="H2" s="15" t="inlineStr">
        <is>
          <t>Luke</t>
        </is>
      </c>
      <c r="I2" s="15" t="inlineStr">
        <is>
          <t>3,043 test units, 21,810 teammate rows</t>
        </is>
      </c>
      <c r="J2" s="15" t="inlineStr">
        <is>
          <t>Aggregated by backtest/backtest.py; ESPN does not list most inactive players, so 'missing while on the team' counts as inactive</t>
        </is>
      </c>
      <c r="K2" s="15" t="inlineStr">
        <is>
          <t>Full report: backtest/REPORT.md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2026-10-15T22:25:11Z</dcterms:created>
  <dcterms:modified xmlns:dcterms="http://purl.org/dc/terms/" xmlns:xsi="http://www.w3.org/2001/XMLSchema-instance" xsi:type="dcterms:W3CDTF">2026-10-15T22:25:11Z</dcterms:modified>
</cp:coreProperties>
</file>